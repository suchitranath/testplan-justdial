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0b563b77f190da/Desktop/"/>
    </mc:Choice>
  </mc:AlternateContent>
  <xr:revisionPtr revIDLastSave="0" documentId="8_{61451147-ABC2-4315-9A34-16D873DB1FF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Test Plan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G4" i="2"/>
  <c r="H4" i="2"/>
  <c r="H6" i="2" s="1"/>
  <c r="E6" i="2"/>
  <c r="F6" i="2"/>
  <c r="G6" i="2"/>
  <c r="G6" i="1"/>
  <c r="F6" i="1"/>
  <c r="E6" i="1"/>
  <c r="H4" i="1"/>
  <c r="H6" i="1" s="1"/>
  <c r="G4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color rgb="FF000000"/>
            <rFont val="Arial"/>
            <scheme val="minor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color rgb="FF000000"/>
            <rFont val="Arial"/>
            <scheme val="minor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scheme val="minor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color rgb="FF000000"/>
            <rFont val="Arial"/>
            <scheme val="minor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color rgb="FF000000"/>
            <rFont val="Arial"/>
            <scheme val="minor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color rgb="FF000000"/>
            <rFont val="Arial"/>
            <scheme val="minor"/>
          </rPr>
          <t>Status: Current test verdict: Passed, Failed, Blocked, or Not Executed (Pending execution).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100-000001000000}">
      <text>
        <r>
          <rPr>
            <sz val="10"/>
            <color rgb="FF000000"/>
            <rFont val="Arial"/>
            <scheme val="minor"/>
          </rPr>
          <t>Unique identifier for each test case (e.g. TC001, TC002)</t>
        </r>
      </text>
    </comment>
    <comment ref="B13" authorId="0" shapeId="0" xr:uid="{00000000-0006-0000-0100-000002000000}">
      <text>
        <r>
          <rPr>
            <sz val="10"/>
            <color rgb="FF000000"/>
            <rFont val="Arial"/>
            <scheme val="minor"/>
          </rPr>
          <t>Functional module or component under test (e.g. Auth, Cart, Search)</t>
        </r>
      </text>
    </comment>
    <comment ref="C13" authorId="0" shapeId="0" xr:uid="{00000000-0006-0000-0100-000003000000}">
      <text>
        <r>
          <rPr>
            <sz val="10"/>
            <color rgb="FF000000"/>
            <rFont val="Arial"/>
            <scheme val="minor"/>
          </rPr>
          <t>High-level description of what feature/behavior is being tested</t>
        </r>
      </text>
    </comment>
    <comment ref="D13" authorId="0" shapeId="0" xr:uid="{00000000-0006-0000-0100-000004000000}">
      <text>
        <r>
          <rPr>
            <sz val="10"/>
            <color rgb="FF000000"/>
            <rFont val="Arial"/>
            <scheme val="minor"/>
          </rPr>
          <t>Sequential, step-by-step instructions to reproduce the test scenario</t>
        </r>
      </text>
    </comment>
    <comment ref="E13" authorId="0" shapeId="0" xr:uid="{00000000-0006-0000-0100-000005000000}">
      <text>
        <r>
          <rPr>
            <sz val="10"/>
            <color rgb="FF000000"/>
            <rFont val="Arial"/>
            <scheme val="minor"/>
          </rPr>
          <t>Specific input values, credentials, or system state required for execution</t>
        </r>
      </text>
    </comment>
    <comment ref="F1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The anticipated system response or UI behavior according to specifications</t>
        </r>
      </text>
    </comment>
    <comment ref="G13" authorId="0" shapeId="0" xr:uid="{00000000-0006-0000-0100-000007000000}">
      <text>
        <r>
          <rPr>
            <sz val="10"/>
            <color rgb="FF000000"/>
            <rFont val="Arial"/>
            <scheme val="minor"/>
          </rPr>
          <t>The observed system behavior during execution (Done as expected, Issue observed, Pending)</t>
        </r>
      </text>
    </comment>
    <comment ref="H13" authorId="0" shapeId="0" xr:uid="{00000000-0006-0000-0100-000008000000}">
      <text>
        <r>
          <rPr>
            <sz val="10"/>
            <color rgb="FF000000"/>
            <rFont val="Arial"/>
            <scheme val="minor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<sst xmlns="http://schemas.openxmlformats.org/spreadsheetml/2006/main" count="240" uniqueCount="107">
  <si>
    <t>Field</t>
  </si>
  <si>
    <t>Details</t>
  </si>
  <si>
    <t>QA EXECUTION SUMMARY</t>
  </si>
  <si>
    <t>Project</t>
  </si>
  <si>
    <t>TOTAL TESTS</t>
  </si>
  <si>
    <t>PASSED</t>
  </si>
  <si>
    <t>FAILED</t>
  </si>
  <si>
    <t>EXECUTION PROGRESS</t>
  </si>
  <si>
    <t>Testing Type</t>
  </si>
  <si>
    <t>Manual Testing</t>
  </si>
  <si>
    <t>TEST PLAN DOCUMENT</t>
  </si>
  <si>
    <t>Objective</t>
  </si>
  <si>
    <t>BLOCKED</t>
  </si>
  <si>
    <t>NOT EXECUTED</t>
  </si>
  <si>
    <t>PASS RATE</t>
  </si>
  <si>
    <t>STATUS</t>
  </si>
  <si>
    <t>Scope</t>
  </si>
  <si>
    <t>Testing Approach</t>
  </si>
  <si>
    <t>Functional, UI, Positive &amp; Negative Testing</t>
  </si>
  <si>
    <t>Browser</t>
  </si>
  <si>
    <t>Google Chrome</t>
  </si>
  <si>
    <t>BEGINNER QA WORKFLOW &amp; STATUS CRITERIA GUIDE</t>
  </si>
  <si>
    <t>Device</t>
  </si>
  <si>
    <t>Laptop/Desktop</t>
  </si>
  <si>
    <t>Execution Workflow: 1. Review Scenario &amp; Steps  ➔  2. Input Test Data  ➔  3. Verify Flipkart Result  ➔  4. Update Status</t>
  </si>
  <si>
    <t>Test Data</t>
  </si>
  <si>
    <t>Valid and Invalid Inputs</t>
  </si>
  <si>
    <t>Passed</t>
  </si>
  <si>
    <t>Actual matches expected result</t>
  </si>
  <si>
    <t>Failed</t>
  </si>
  <si>
    <t>Defect found; result differs</t>
  </si>
  <si>
    <t>Tester</t>
  </si>
  <si>
    <t>Blocked</t>
  </si>
  <si>
    <t>Cannot test (blocker/env issue)</t>
  </si>
  <si>
    <t>Not Executed</t>
  </si>
  <si>
    <t>Pending execution (default)</t>
  </si>
  <si>
    <t>Actual Result Guide: Keep as 'Pending' until executed. Enter 'Done as expected' (Pass) or 'Issue observed' (Fail).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</si>
  <si>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</si>
  <si>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</si>
  <si>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</si>
  <si>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</si>
  <si>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</si>
  <si>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</si>
  <si>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</si>
  <si>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</si>
  <si>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</si>
  <si>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</si>
  <si>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Valid credentials</t>
  </si>
  <si>
    <t>User should be logged in</t>
  </si>
  <si>
    <t>Done as expected</t>
  </si>
  <si>
    <t>TC002</t>
  </si>
  <si>
    <t>Login with invalid password</t>
  </si>
  <si>
    <t>Open Login → Enter username → Enter wrong password</t>
  </si>
  <si>
    <t>Wrong password</t>
  </si>
  <si>
    <t>Error message should appear</t>
  </si>
  <si>
    <t>TC003</t>
  </si>
  <si>
    <t>Search</t>
  </si>
  <si>
    <t>Laptop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</si>
  <si>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</si>
  <si>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</si>
  <si>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</si>
  <si>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</si>
  <si>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</si>
  <si>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</si>
  <si>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</si>
  <si>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TC006</t>
  </si>
  <si>
    <t>TC007</t>
  </si>
  <si>
    <t>TC008</t>
  </si>
  <si>
    <t>Execution Workflow: 1. Review Scenario &amp; Steps  ➔  2. Input Test Data  ➔  3. Verify Application Result  ➔  4. Update Status</t>
  </si>
  <si>
    <t>Pending</t>
  </si>
  <si>
    <t>TC009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</si>
  <si>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</si>
  <si>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</si>
  <si>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</si>
  <si>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</si>
  <si>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</si>
  <si>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</si>
  <si>
    <t>JUSTDIAL PLATFORM - TEST PLAN DOCUMENT</t>
  </si>
  <si>
    <t>JustDial Website</t>
  </si>
  <si>
    <t>Verify that JustDial features work as expected</t>
  </si>
  <si>
    <t>Login, Search, Restraunt, Cart, Wishlist, Checkout</t>
  </si>
  <si>
    <t>Open JustDial → Click Login → Enter credentials</t>
  </si>
  <si>
    <t>Search for a restaurant</t>
  </si>
  <si>
    <t>Enter order online → Click delivery partner</t>
  </si>
  <si>
    <t>Relevant restaurant should appear</t>
  </si>
  <si>
    <t>Service</t>
  </si>
  <si>
    <t>Open a service</t>
  </si>
  <si>
    <t>Search for the service → Click service needed</t>
  </si>
  <si>
    <t>Service details page should open</t>
  </si>
  <si>
    <t>Booking service</t>
  </si>
  <si>
    <t xml:space="preserve">Booking service  </t>
  </si>
  <si>
    <t>Open order online → Click add delivery partner</t>
  </si>
  <si>
    <t>Available delivery partner</t>
  </si>
  <si>
    <t>Redirect to delivery partner</t>
  </si>
  <si>
    <t>Location</t>
  </si>
  <si>
    <t xml:space="preserve">Current location </t>
  </si>
  <si>
    <t>Open JustDial → Click Location</t>
  </si>
  <si>
    <t>Current location added</t>
  </si>
  <si>
    <t>Current location has to be added</t>
  </si>
  <si>
    <t>Travel Bookings</t>
  </si>
  <si>
    <t>Transport selection</t>
  </si>
  <si>
    <t>Click mode of transport -&gt; Click search with origin and destination</t>
  </si>
  <si>
    <t>Fetched details</t>
  </si>
  <si>
    <t>User should get the transport details</t>
  </si>
  <si>
    <t>Click mode of transport -&gt; Click search with no origin and destination</t>
  </si>
  <si>
    <t>No details fetched</t>
  </si>
  <si>
    <t>Error warning alerts user to complete 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</si>
</sst>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2">
    <font>
      <sz val="10"/>
      <color rgb="FF000000"/>
      <name val="Arial"/>
      <scheme val="minor"/>
    </font>
    <font>
      <b/>
      <sz val="12"/>
      <color rgb="FFFFFFFF"/>
      <name val="Google Sans"/>
    </font>
    <font>
      <sz val="10"/>
      <name val="Arial"/>
    </font>
    <font>
      <b/>
      <sz val="10"/>
      <color rgb="FFFFFFFF"/>
      <name val="Google Sans"/>
    </font>
    <font>
      <b/>
      <sz val="11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9"/>
      <color rgb="FF465469"/>
      <name val="Google Sans"/>
    </font>
    <font>
      <b/>
      <sz val="16"/>
      <color rgb="FF1E3989"/>
      <name val="Google Sans"/>
    </font>
    <font>
      <b/>
      <sz val="16"/>
      <color rgb="FF059569"/>
      <name val="Google Sans"/>
    </font>
    <font>
      <b/>
      <sz val="16"/>
      <color rgb="FFDC2525"/>
      <name val="Google Sans"/>
    </font>
    <font>
      <b/>
      <sz val="16"/>
      <color rgb="FF2462EB"/>
      <name val="Google Sans"/>
    </font>
    <font>
      <b/>
      <sz val="14"/>
      <color rgb="FFD97706"/>
      <name val="Google Sans"/>
    </font>
    <font>
      <b/>
      <sz val="14"/>
      <color rgb="FF63748A"/>
      <name val="Google Sans"/>
    </font>
    <font>
      <b/>
      <sz val="14"/>
      <color rgb="FF0D9387"/>
      <name val="Google Sans"/>
    </font>
    <font>
      <b/>
      <sz val="10"/>
      <color rgb="FF1E293A"/>
      <name val="Google Sans"/>
    </font>
    <font>
      <b/>
      <sz val="11"/>
      <color rgb="FF4338C9"/>
      <name val="Google Sans"/>
    </font>
    <font>
      <sz val="10"/>
      <color rgb="FF1E293A"/>
      <name val="Google Sans"/>
    </font>
    <font>
      <sz val="9"/>
      <color rgb="FF1A1B1F"/>
      <name val="Google Sans"/>
    </font>
    <font>
      <b/>
      <sz val="9"/>
      <color rgb="FF0A5E28"/>
      <name val="Google Sans"/>
    </font>
    <font>
      <b/>
      <sz val="9"/>
      <color rgb="FFC5211F"/>
      <name val="Google Sans"/>
    </font>
    <font>
      <b/>
      <sz val="9"/>
      <color rgb="FF92400E"/>
      <name val="Google Sans"/>
    </font>
    <font>
      <b/>
      <sz val="9"/>
      <color rgb="FF465369"/>
      <name val="Google Sans"/>
    </font>
    <font>
      <i/>
      <sz val="9"/>
      <color rgb="FF465369"/>
      <name val="Google Sans"/>
    </font>
    <font>
      <b/>
      <sz val="16"/>
      <color rgb="FF1D3A8A"/>
      <name val="Google Sans"/>
    </font>
    <font>
      <b/>
      <sz val="16"/>
      <color rgb="FF15A249"/>
      <name val="Google Sans"/>
    </font>
    <font>
      <b/>
      <sz val="10"/>
      <color rgb="FF1E3989"/>
      <name val="Google Sans"/>
    </font>
    <font>
      <b/>
      <sz val="10"/>
      <color theme="1"/>
      <name val="Google Sans"/>
    </font>
    <font>
      <sz val="10"/>
      <color rgb="FF1F2937"/>
      <name val="Google Sans"/>
    </font>
    <font>
      <b/>
      <sz val="16"/>
      <color rgb="FFD97706"/>
      <name val="Google Sans"/>
    </font>
    <font>
      <b/>
      <sz val="16"/>
      <color rgb="FF63748A"/>
      <name val="Google Sans"/>
    </font>
    <font>
      <b/>
      <sz val="11"/>
      <color rgb="FF2462EB"/>
      <name val="Google Sans"/>
    </font>
    <font>
      <sz val="10"/>
      <color theme="1"/>
      <name val="Google Sans"/>
    </font>
    <font>
      <b/>
      <sz val="9"/>
      <color rgb="FF1E293A"/>
      <name val="Google Sans"/>
    </font>
    <font>
      <b/>
      <sz val="9"/>
      <color rgb="FF156434"/>
      <name val="Google Sans"/>
    </font>
    <font>
      <sz val="9"/>
      <color rgb="FF334154"/>
      <name val="Google Sans"/>
    </font>
    <font>
      <b/>
      <sz val="9"/>
      <color rgb="FF991B1B"/>
      <name val="Google Sans"/>
    </font>
    <font>
      <i/>
      <sz val="9"/>
      <color rgb="FF63748A"/>
      <name val="Google Sans"/>
    </font>
    <font>
      <b/>
      <sz val="10"/>
      <color rgb="FF1D3A8A"/>
      <name val="Google Sans"/>
    </font>
    <font>
      <sz val="8"/>
      <name val="Arial"/>
      <scheme val="minor"/>
    </font>
    <font>
      <sz val="10"/>
      <color rgb="FF334154"/>
      <name val="Google Sans"/>
    </font>
    <font>
      <sz val="10"/>
      <color rgb="FF465469"/>
      <name val="Google Sans"/>
    </font>
  </fonts>
  <fills count="15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E6F4EA"/>
        <bgColor rgb="FFE6F4EA"/>
      </patternFill>
    </fill>
    <fill>
      <patternFill patternType="solid">
        <fgColor rgb="FFFDE8E8"/>
        <bgColor rgb="FFFDE8E8"/>
      </patternFill>
    </fill>
    <fill>
      <patternFill patternType="solid">
        <fgColor rgb="FFFEF3C7"/>
        <bgColor rgb="FFFEF3C7"/>
      </patternFill>
    </fill>
    <fill>
      <patternFill patternType="solid">
        <fgColor rgb="FFF8F9FB"/>
        <bgColor rgb="FFF8F9FB"/>
      </patternFill>
    </fill>
    <fill>
      <patternFill patternType="solid">
        <fgColor rgb="FFDCFBE7"/>
        <bgColor rgb="FFDCFBE7"/>
      </patternFill>
    </fill>
    <fill>
      <patternFill patternType="solid">
        <fgColor rgb="FFFDE1E1"/>
        <bgColor rgb="FFFDE1E1"/>
      </patternFill>
    </fill>
    <fill>
      <patternFill patternType="solid">
        <fgColor rgb="FFFDF3C6"/>
        <bgColor rgb="FFFDF3C6"/>
      </patternFill>
    </fill>
  </fills>
  <borders count="54">
    <border>
      <left/>
      <right/>
      <top/>
      <bottom/>
      <diagonal/>
    </border>
    <border>
      <left style="medium">
        <color rgb="FF1E3989"/>
      </left>
      <right/>
      <top style="medium">
        <color rgb="FF1E3989"/>
      </top>
      <bottom style="medium">
        <color rgb="FF1E3989"/>
      </bottom>
      <diagonal/>
    </border>
    <border>
      <left/>
      <right/>
      <top style="medium">
        <color rgb="FF1E3989"/>
      </top>
      <bottom style="medium">
        <color rgb="FF1E3989"/>
      </bottom>
      <diagonal/>
    </border>
    <border>
      <left/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 style="medium">
        <color rgb="FF1E3989"/>
      </left>
      <right/>
      <top style="medium">
        <color rgb="FF1E3989"/>
      </top>
      <bottom style="thin">
        <color rgb="FFD1D8E5"/>
      </bottom>
      <diagonal/>
    </border>
    <border>
      <left/>
      <right/>
      <top style="medium">
        <color rgb="FF1E3989"/>
      </top>
      <bottom style="thin">
        <color rgb="FFD1D8E5"/>
      </bottom>
      <diagonal/>
    </border>
    <border>
      <left/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 style="medium">
        <color rgb="FF1E3989"/>
      </left>
      <right/>
      <top style="medium">
        <color rgb="FF1E3989"/>
      </top>
      <bottom/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/>
      <right/>
      <top style="medium">
        <color rgb="FF1E3989"/>
      </top>
      <bottom/>
      <diagonal/>
    </border>
    <border>
      <left/>
      <right style="medium">
        <color rgb="FF1E3989"/>
      </right>
      <top style="medium">
        <color rgb="FF1E3989"/>
      </top>
      <bottom/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/>
      <right/>
      <top style="thin">
        <color rgb="FF1D3A8A"/>
      </top>
      <bottom style="thin">
        <color rgb="FFE1E8EF"/>
      </bottom>
      <diagonal/>
    </border>
    <border>
      <left/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/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medium">
        <color rgb="FF1E3989"/>
      </left>
      <right/>
      <top style="thin">
        <color rgb="FFD1D8E5"/>
      </top>
      <bottom style="thin">
        <color rgb="FFD1D8E5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/>
      <right/>
      <top style="thin">
        <color rgb="FFD1D8E5"/>
      </top>
      <bottom style="thin">
        <color rgb="FFD1D8E5"/>
      </bottom>
      <diagonal/>
    </border>
    <border>
      <left/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medium">
        <color rgb="FF1E3989"/>
      </left>
      <right/>
      <top style="thin">
        <color rgb="FFD1D8E5"/>
      </top>
      <bottom style="medium">
        <color rgb="FF1E3989"/>
      </bottom>
      <diagonal/>
    </border>
    <border>
      <left/>
      <right/>
      <top style="thin">
        <color rgb="FFD1D8E5"/>
      </top>
      <bottom style="medium">
        <color rgb="FF1E3989"/>
      </bottom>
      <diagonal/>
    </border>
    <border>
      <left/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medium">
        <color rgb="FF1E3989"/>
      </top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/>
      <diagonal/>
    </border>
    <border>
      <left style="medium">
        <color rgb="FF2A4678"/>
      </left>
      <right/>
      <top style="thin">
        <color rgb="FFE1E8EF"/>
      </top>
      <bottom style="thin">
        <color rgb="FFE1E8EF"/>
      </bottom>
      <diagonal/>
    </border>
    <border>
      <left style="medium">
        <color rgb="FF2A4678"/>
      </left>
      <right/>
      <top style="thin">
        <color rgb="FF1D3A8A"/>
      </top>
      <bottom style="thin">
        <color rgb="FFE1E8EF"/>
      </bottom>
      <diagonal/>
    </border>
    <border>
      <left style="thin">
        <color rgb="FFCAD4E0"/>
      </left>
      <right/>
      <top style="thin">
        <color rgb="FFE1E8EF"/>
      </top>
      <bottom style="medium">
        <color rgb="FF1D3A8A"/>
      </bottom>
      <diagonal/>
    </border>
    <border>
      <left/>
      <right/>
      <top style="thin">
        <color rgb="FFE1E8EF"/>
      </top>
      <bottom style="medium">
        <color rgb="FF1D3A8A"/>
      </bottom>
      <diagonal/>
    </border>
    <border>
      <left/>
      <right style="thin">
        <color rgb="FFCAD4E0"/>
      </right>
      <top style="thin">
        <color rgb="FFE1E8EF"/>
      </top>
      <bottom style="medium">
        <color rgb="FF1D3A8A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3" fontId="8" fillId="5" borderId="11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/>
    </xf>
    <xf numFmtId="3" fontId="10" fillId="5" borderId="12" xfId="0" applyNumberFormat="1" applyFont="1" applyFill="1" applyBorder="1" applyAlignment="1">
      <alignment horizontal="center" vertical="center"/>
    </xf>
    <xf numFmtId="164" fontId="11" fillId="5" borderId="13" xfId="0" applyNumberFormat="1" applyFont="1" applyFill="1" applyBorder="1" applyAlignment="1">
      <alignment horizontal="center" vertical="center"/>
    </xf>
    <xf numFmtId="3" fontId="12" fillId="5" borderId="15" xfId="0" applyNumberFormat="1" applyFont="1" applyFill="1" applyBorder="1" applyAlignment="1">
      <alignment horizontal="center" vertical="center"/>
    </xf>
    <xf numFmtId="3" fontId="13" fillId="5" borderId="18" xfId="0" applyNumberFormat="1" applyFont="1" applyFill="1" applyBorder="1" applyAlignment="1">
      <alignment horizontal="center" vertical="center"/>
    </xf>
    <xf numFmtId="164" fontId="14" fillId="5" borderId="18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left" vertical="center" wrapText="1"/>
    </xf>
    <xf numFmtId="0" fontId="20" fillId="9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6" fillId="5" borderId="31" xfId="0" applyFont="1" applyFill="1" applyBorder="1" applyAlignment="1">
      <alignment horizontal="left" vertical="center" wrapText="1"/>
    </xf>
    <xf numFmtId="0" fontId="21" fillId="10" borderId="11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3" fontId="24" fillId="5" borderId="21" xfId="0" applyNumberFormat="1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left" vertical="center" wrapText="1"/>
    </xf>
    <xf numFmtId="3" fontId="25" fillId="5" borderId="26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 wrapText="1"/>
    </xf>
    <xf numFmtId="3" fontId="10" fillId="5" borderId="26" xfId="0" applyNumberFormat="1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center" vertical="center" wrapText="1"/>
    </xf>
    <xf numFmtId="0" fontId="27" fillId="5" borderId="26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left" vertical="center" wrapText="1"/>
    </xf>
    <xf numFmtId="0" fontId="28" fillId="5" borderId="26" xfId="0" applyFont="1" applyFill="1" applyBorder="1" applyAlignment="1">
      <alignment horizontal="center" vertical="center" wrapText="1"/>
    </xf>
    <xf numFmtId="0" fontId="28" fillId="5" borderId="39" xfId="0" applyFont="1" applyFill="1" applyBorder="1" applyAlignment="1">
      <alignment horizontal="center" vertical="center" wrapText="1"/>
    </xf>
    <xf numFmtId="164" fontId="11" fillId="5" borderId="29" xfId="0" applyNumberFormat="1" applyFont="1" applyFill="1" applyBorder="1" applyAlignment="1">
      <alignment horizontal="center" vertical="center"/>
    </xf>
    <xf numFmtId="0" fontId="27" fillId="11" borderId="26" xfId="0" applyFont="1" applyFill="1" applyBorder="1" applyAlignment="1">
      <alignment horizontal="left" vertical="center" wrapText="1"/>
    </xf>
    <xf numFmtId="0" fontId="28" fillId="11" borderId="26" xfId="0" applyFont="1" applyFill="1" applyBorder="1" applyAlignment="1">
      <alignment horizontal="left" vertical="center" wrapText="1"/>
    </xf>
    <xf numFmtId="0" fontId="28" fillId="11" borderId="26" xfId="0" applyFont="1" applyFill="1" applyBorder="1" applyAlignment="1">
      <alignment horizontal="center" vertical="center" wrapText="1"/>
    </xf>
    <xf numFmtId="0" fontId="28" fillId="11" borderId="39" xfId="0" applyFont="1" applyFill="1" applyBorder="1" applyAlignment="1">
      <alignment horizontal="center" vertical="center" wrapText="1"/>
    </xf>
    <xf numFmtId="0" fontId="27" fillId="11" borderId="40" xfId="0" applyFont="1" applyFill="1" applyBorder="1" applyAlignment="1">
      <alignment horizontal="left" vertical="center" wrapText="1"/>
    </xf>
    <xf numFmtId="0" fontId="28" fillId="11" borderId="40" xfId="0" applyFont="1" applyFill="1" applyBorder="1" applyAlignment="1">
      <alignment horizontal="left" vertical="center" wrapText="1"/>
    </xf>
    <xf numFmtId="3" fontId="29" fillId="5" borderId="41" xfId="0" applyNumberFormat="1" applyFont="1" applyFill="1" applyBorder="1" applyAlignment="1">
      <alignment horizontal="center" vertical="center"/>
    </xf>
    <xf numFmtId="0" fontId="28" fillId="11" borderId="40" xfId="0" applyFont="1" applyFill="1" applyBorder="1" applyAlignment="1">
      <alignment horizontal="center" vertical="center" wrapText="1"/>
    </xf>
    <xf numFmtId="0" fontId="28" fillId="11" borderId="42" xfId="0" applyFont="1" applyFill="1" applyBorder="1" applyAlignment="1">
      <alignment horizontal="center" vertical="center" wrapText="1"/>
    </xf>
    <xf numFmtId="3" fontId="30" fillId="5" borderId="43" xfId="0" applyNumberFormat="1" applyFont="1" applyFill="1" applyBorder="1" applyAlignment="1">
      <alignment horizontal="center" vertical="center"/>
    </xf>
    <xf numFmtId="164" fontId="25" fillId="5" borderId="43" xfId="0" applyNumberFormat="1" applyFont="1" applyFill="1" applyBorder="1" applyAlignment="1">
      <alignment horizontal="center" vertical="center"/>
    </xf>
    <xf numFmtId="0" fontId="31" fillId="5" borderId="44" xfId="0" applyFont="1" applyFill="1" applyBorder="1" applyAlignment="1">
      <alignment horizontal="center" vertical="center"/>
    </xf>
    <xf numFmtId="0" fontId="32" fillId="5" borderId="0" xfId="0" applyFont="1" applyFill="1"/>
    <xf numFmtId="0" fontId="34" fillId="12" borderId="21" xfId="0" applyFont="1" applyFill="1" applyBorder="1" applyAlignment="1">
      <alignment horizontal="center" vertical="center"/>
    </xf>
    <xf numFmtId="0" fontId="35" fillId="5" borderId="26" xfId="0" applyFont="1" applyFill="1" applyBorder="1" applyAlignment="1">
      <alignment horizontal="left" vertical="center"/>
    </xf>
    <xf numFmtId="0" fontId="36" fillId="13" borderId="26" xfId="0" applyFont="1" applyFill="1" applyBorder="1" applyAlignment="1">
      <alignment horizontal="center" vertical="center"/>
    </xf>
    <xf numFmtId="0" fontId="35" fillId="5" borderId="29" xfId="0" applyFont="1" applyFill="1" applyBorder="1" applyAlignment="1">
      <alignment horizontal="left" vertical="center"/>
    </xf>
    <xf numFmtId="0" fontId="21" fillId="14" borderId="21" xfId="0" applyFont="1" applyFill="1" applyBorder="1" applyAlignment="1">
      <alignment horizontal="center" vertical="center"/>
    </xf>
    <xf numFmtId="0" fontId="32" fillId="0" borderId="0" xfId="0" applyFont="1"/>
    <xf numFmtId="0" fontId="3" fillId="7" borderId="45" xfId="0" applyFont="1" applyFill="1" applyBorder="1" applyAlignment="1">
      <alignment horizontal="center" vertical="center"/>
    </xf>
    <xf numFmtId="0" fontId="3" fillId="7" borderId="46" xfId="0" applyFont="1" applyFill="1" applyBorder="1" applyAlignment="1">
      <alignment horizontal="left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 wrapText="1"/>
    </xf>
    <xf numFmtId="0" fontId="32" fillId="0" borderId="26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15" fillId="0" borderId="43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2" fillId="0" borderId="43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2" borderId="6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23" fillId="11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1" fillId="7" borderId="14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27" fillId="5" borderId="48" xfId="0" applyFont="1" applyFill="1" applyBorder="1" applyAlignment="1">
      <alignment horizontal="left" vertical="center" wrapText="1"/>
    </xf>
    <xf numFmtId="0" fontId="33" fillId="11" borderId="49" xfId="0" applyFont="1" applyFill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1" borderId="24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7" fillId="11" borderId="51" xfId="0" applyFont="1" applyFill="1" applyBorder="1" applyAlignment="1">
      <alignment horizontal="center" vertical="center"/>
    </xf>
    <xf numFmtId="0" fontId="37" fillId="11" borderId="52" xfId="0" applyFont="1" applyFill="1" applyBorder="1" applyAlignment="1">
      <alignment horizontal="center" vertical="center"/>
    </xf>
    <xf numFmtId="0" fontId="37" fillId="11" borderId="53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left" vertical="center" wrapText="1"/>
    </xf>
    <xf numFmtId="0" fontId="41" fillId="0" borderId="26" xfId="0" applyFont="1" applyBorder="1" applyAlignment="1">
      <alignment horizontal="left" vertical="center" wrapText="1"/>
    </xf>
    <xf numFmtId="0" fontId="40" fillId="0" borderId="43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5F8FB"/>
          <bgColor rgb="FFF5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3A8A"/>
          <bgColor rgb="FF1D3A8A"/>
        </patternFill>
      </fill>
    </dxf>
  </dxfs>
  <tableStyles count="1">
    <tableStyle name="Test Plan Template-style" pivot="0" count="3" xr9:uid="{00000000-0011-0000-FFFF-FFFF00000000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H23">
  <tableColumns count="8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Test Plan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workbookViewId="0">
      <selection activeCell="B2" sqref="B2:H12"/>
    </sheetView>
  </sheetViews>
  <sheetFormatPr defaultColWidth="12.6640625" defaultRowHeight="15.75" customHeight="1"/>
  <cols>
    <col min="1" max="1" width="13.88671875" customWidth="1"/>
    <col min="2" max="2" width="17.6640625" customWidth="1"/>
    <col min="3" max="3" width="36" customWidth="1"/>
    <col min="4" max="4" width="43.88671875" customWidth="1"/>
    <col min="5" max="5" width="20.109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B1" s="73" t="s">
        <v>77</v>
      </c>
      <c r="C1" s="74"/>
      <c r="D1" s="74"/>
      <c r="E1" s="74"/>
      <c r="F1" s="74"/>
      <c r="G1" s="74"/>
      <c r="H1" s="75"/>
    </row>
    <row r="2" spans="1:8" ht="22.5" customHeight="1">
      <c r="B2" s="1" t="s">
        <v>0</v>
      </c>
      <c r="C2" s="2" t="s">
        <v>1</v>
      </c>
      <c r="E2" s="76" t="s">
        <v>2</v>
      </c>
      <c r="F2" s="77"/>
      <c r="G2" s="77"/>
      <c r="H2" s="78"/>
    </row>
    <row r="3" spans="1:8" ht="19.5" customHeight="1">
      <c r="B3" s="3" t="s">
        <v>3</v>
      </c>
      <c r="C3" s="4" t="s">
        <v>78</v>
      </c>
      <c r="E3" s="5" t="s">
        <v>4</v>
      </c>
      <c r="F3" s="6" t="s">
        <v>5</v>
      </c>
      <c r="G3" s="6" t="s">
        <v>6</v>
      </c>
      <c r="H3" s="7" t="s">
        <v>7</v>
      </c>
    </row>
    <row r="4" spans="1:8" ht="28.5" customHeight="1">
      <c r="B4" s="3" t="s">
        <v>8</v>
      </c>
      <c r="C4" s="4" t="s">
        <v>9</v>
      </c>
      <c r="E4" s="8">
        <f>COUNTA(A14:A21)</f>
        <v>8</v>
      </c>
      <c r="F4" s="9">
        <f>COUNTIF(H14:H21, "Passed")</f>
        <v>8</v>
      </c>
      <c r="G4" s="10">
        <f>COUNTIF(H14:H21, "Failed")</f>
        <v>0</v>
      </c>
      <c r="H4" s="11">
        <f>IF(COUNTA(A14:A21)=0, 0, COUNTIF(H14:H21, "&lt;&gt;Not Executed")/COUNTA(A14:A21))</f>
        <v>1</v>
      </c>
    </row>
    <row r="5" spans="1:8" ht="19.5" customHeight="1">
      <c r="B5" s="3" t="s">
        <v>11</v>
      </c>
      <c r="C5" s="4" t="s">
        <v>79</v>
      </c>
      <c r="E5" s="5" t="s">
        <v>12</v>
      </c>
      <c r="F5" s="6" t="s">
        <v>13</v>
      </c>
      <c r="G5" s="6" t="s">
        <v>14</v>
      </c>
      <c r="H5" s="7" t="s">
        <v>15</v>
      </c>
    </row>
    <row r="6" spans="1:8" ht="25.5" customHeight="1">
      <c r="B6" s="3" t="s">
        <v>16</v>
      </c>
      <c r="C6" s="4" t="s">
        <v>80</v>
      </c>
      <c r="E6" s="12">
        <f>COUNTIF(H14:H21, "Blocked")</f>
        <v>0</v>
      </c>
      <c r="F6" s="13">
        <f>COUNTIF(H14:H21, "Not Executed")</f>
        <v>0</v>
      </c>
      <c r="G6" s="14">
        <f>IFERROR(COUNTIF(H14:H21, "Passed")/(COUNTIF(H14:H21, "Passed")+COUNTIF(H14:H21, "Failed")), 0)</f>
        <v>1</v>
      </c>
      <c r="H6" s="15" t="str">
        <f>IF(H4=1, "Completed", IF(H4&gt;0, "In Progress", "Not Started"))</f>
        <v>Completed</v>
      </c>
    </row>
    <row r="7" spans="1:8" ht="19.5" customHeight="1">
      <c r="B7" s="3" t="s">
        <v>17</v>
      </c>
      <c r="C7" s="4" t="s">
        <v>18</v>
      </c>
    </row>
    <row r="8" spans="1:8" ht="19.5" customHeight="1">
      <c r="B8" s="3" t="s">
        <v>19</v>
      </c>
      <c r="C8" s="4" t="s">
        <v>20</v>
      </c>
      <c r="E8" s="79" t="s">
        <v>21</v>
      </c>
      <c r="F8" s="77"/>
      <c r="G8" s="77"/>
      <c r="H8" s="78"/>
    </row>
    <row r="9" spans="1:8" ht="19.5" customHeight="1">
      <c r="B9" s="3" t="s">
        <v>22</v>
      </c>
      <c r="C9" s="4" t="s">
        <v>23</v>
      </c>
      <c r="E9" s="80" t="s">
        <v>24</v>
      </c>
      <c r="F9" s="81"/>
      <c r="G9" s="81"/>
      <c r="H9" s="82"/>
    </row>
    <row r="10" spans="1:8" ht="21" customHeight="1">
      <c r="B10" s="3" t="s">
        <v>25</v>
      </c>
      <c r="C10" s="4" t="s">
        <v>26</v>
      </c>
      <c r="E10" s="19" t="s">
        <v>27</v>
      </c>
      <c r="F10" s="20" t="s">
        <v>28</v>
      </c>
      <c r="G10" s="21" t="s">
        <v>29</v>
      </c>
      <c r="H10" s="22" t="s">
        <v>30</v>
      </c>
    </row>
    <row r="11" spans="1:8" ht="21" customHeight="1">
      <c r="B11" s="23" t="s">
        <v>31</v>
      </c>
      <c r="C11" s="24"/>
      <c r="E11" s="25" t="s">
        <v>32</v>
      </c>
      <c r="F11" s="20" t="s">
        <v>33</v>
      </c>
      <c r="G11" s="26" t="s">
        <v>34</v>
      </c>
      <c r="H11" s="22" t="s">
        <v>35</v>
      </c>
    </row>
    <row r="12" spans="1:8" ht="21" customHeight="1">
      <c r="E12" s="83" t="s">
        <v>36</v>
      </c>
      <c r="F12" s="84"/>
      <c r="G12" s="84"/>
      <c r="H12" s="85"/>
    </row>
    <row r="13" spans="1:8" ht="27" customHeight="1">
      <c r="A13" s="28" t="s">
        <v>37</v>
      </c>
      <c r="B13" s="29" t="s">
        <v>38</v>
      </c>
      <c r="C13" s="29" t="s">
        <v>39</v>
      </c>
      <c r="D13" s="29" t="s">
        <v>40</v>
      </c>
      <c r="E13" s="29" t="s">
        <v>25</v>
      </c>
      <c r="F13" s="29" t="s">
        <v>41</v>
      </c>
      <c r="G13" s="31" t="s">
        <v>42</v>
      </c>
      <c r="H13" s="33" t="s">
        <v>43</v>
      </c>
    </row>
    <row r="14" spans="1:8" ht="25.5" customHeight="1">
      <c r="A14" s="34" t="s">
        <v>44</v>
      </c>
      <c r="B14" s="35" t="s">
        <v>45</v>
      </c>
      <c r="C14" s="36" t="s">
        <v>46</v>
      </c>
      <c r="D14" s="36" t="s">
        <v>81</v>
      </c>
      <c r="E14" s="36" t="s">
        <v>47</v>
      </c>
      <c r="F14" s="36" t="s">
        <v>48</v>
      </c>
      <c r="G14" s="37" t="s">
        <v>49</v>
      </c>
      <c r="H14" s="38" t="s">
        <v>27</v>
      </c>
    </row>
    <row r="15" spans="1:8" ht="25.5" customHeight="1">
      <c r="A15" s="34" t="s">
        <v>50</v>
      </c>
      <c r="B15" s="40" t="s">
        <v>45</v>
      </c>
      <c r="C15" s="41" t="s">
        <v>51</v>
      </c>
      <c r="D15" s="41" t="s">
        <v>52</v>
      </c>
      <c r="E15" s="41" t="s">
        <v>53</v>
      </c>
      <c r="F15" s="41" t="s">
        <v>54</v>
      </c>
      <c r="G15" s="42" t="s">
        <v>49</v>
      </c>
      <c r="H15" s="43" t="s">
        <v>27</v>
      </c>
    </row>
    <row r="16" spans="1:8" ht="25.5" customHeight="1">
      <c r="A16" s="34" t="s">
        <v>55</v>
      </c>
      <c r="B16" s="35" t="s">
        <v>56</v>
      </c>
      <c r="C16" s="36" t="s">
        <v>82</v>
      </c>
      <c r="D16" s="36" t="s">
        <v>83</v>
      </c>
      <c r="E16" s="36" t="s">
        <v>57</v>
      </c>
      <c r="F16" s="36" t="s">
        <v>84</v>
      </c>
      <c r="G16" s="37" t="s">
        <v>49</v>
      </c>
      <c r="H16" s="38" t="s">
        <v>27</v>
      </c>
    </row>
    <row r="17" spans="1:8" ht="25.5" customHeight="1">
      <c r="A17" s="34" t="s">
        <v>58</v>
      </c>
      <c r="B17" s="40" t="s">
        <v>56</v>
      </c>
      <c r="C17" s="41" t="s">
        <v>59</v>
      </c>
      <c r="D17" s="41" t="s">
        <v>60</v>
      </c>
      <c r="E17" s="41" t="s">
        <v>61</v>
      </c>
      <c r="F17" s="41" t="s">
        <v>62</v>
      </c>
      <c r="G17" s="42" t="s">
        <v>63</v>
      </c>
      <c r="H17" s="43" t="s">
        <v>27</v>
      </c>
    </row>
    <row r="18" spans="1:8" ht="25.5" customHeight="1">
      <c r="A18" s="34" t="s">
        <v>64</v>
      </c>
      <c r="B18" s="35" t="s">
        <v>85</v>
      </c>
      <c r="C18" s="36" t="s">
        <v>86</v>
      </c>
      <c r="D18" s="36" t="s">
        <v>87</v>
      </c>
      <c r="E18" s="36" t="s">
        <v>57</v>
      </c>
      <c r="F18" s="36" t="s">
        <v>88</v>
      </c>
      <c r="G18" s="37" t="s">
        <v>49</v>
      </c>
      <c r="H18" s="38" t="s">
        <v>27</v>
      </c>
    </row>
    <row r="19" spans="1:8" ht="25.5" customHeight="1">
      <c r="A19" s="34" t="s">
        <v>65</v>
      </c>
      <c r="B19" s="40" t="s">
        <v>89</v>
      </c>
      <c r="C19" s="41" t="s">
        <v>90</v>
      </c>
      <c r="D19" s="41" t="s">
        <v>91</v>
      </c>
      <c r="E19" s="41" t="s">
        <v>92</v>
      </c>
      <c r="F19" s="41" t="s">
        <v>93</v>
      </c>
      <c r="G19" s="42" t="s">
        <v>49</v>
      </c>
      <c r="H19" s="43" t="s">
        <v>27</v>
      </c>
    </row>
    <row r="20" spans="1:8" ht="25.5" customHeight="1">
      <c r="A20" s="34" t="s">
        <v>66</v>
      </c>
      <c r="B20" s="35" t="s">
        <v>94</v>
      </c>
      <c r="C20" s="36" t="s">
        <v>95</v>
      </c>
      <c r="D20" s="36" t="s">
        <v>96</v>
      </c>
      <c r="E20" s="36" t="s">
        <v>97</v>
      </c>
      <c r="F20" s="36" t="s">
        <v>98</v>
      </c>
      <c r="G20" s="37" t="s">
        <v>49</v>
      </c>
      <c r="H20" s="38" t="s">
        <v>27</v>
      </c>
    </row>
    <row r="21" spans="1:8" ht="25.5" customHeight="1" thickBot="1">
      <c r="A21" s="34" t="s">
        <v>67</v>
      </c>
      <c r="B21" s="44" t="s">
        <v>99</v>
      </c>
      <c r="C21" s="45" t="s">
        <v>100</v>
      </c>
      <c r="D21" s="45" t="s">
        <v>101</v>
      </c>
      <c r="E21" s="45" t="s">
        <v>102</v>
      </c>
      <c r="F21" s="45" t="s">
        <v>103</v>
      </c>
      <c r="G21" s="47" t="s">
        <v>49</v>
      </c>
      <c r="H21" s="48" t="s">
        <v>27</v>
      </c>
    </row>
    <row r="22" spans="1:8" ht="15.75" customHeight="1" thickBot="1">
      <c r="A22" s="34"/>
      <c r="B22" s="89"/>
      <c r="C22" s="45"/>
      <c r="D22" s="45"/>
    </row>
    <row r="23" spans="1:8" ht="15.75" customHeight="1">
      <c r="A23" s="34"/>
    </row>
  </sheetData>
  <mergeCells count="5">
    <mergeCell ref="B1:H1"/>
    <mergeCell ref="E2:H2"/>
    <mergeCell ref="E8:H8"/>
    <mergeCell ref="E9:H9"/>
    <mergeCell ref="E12:H12"/>
  </mergeCells>
  <phoneticPr fontId="39" type="noConversion"/>
  <conditionalFormatting sqref="B21:H21">
    <cfRule type="duplicateValues" dxfId="5" priority="5"/>
  </conditionalFormatting>
  <conditionalFormatting sqref="C22">
    <cfRule type="duplicateValues" dxfId="3" priority="2"/>
  </conditionalFormatting>
  <conditionalFormatting sqref="D22">
    <cfRule type="duplicateValues" dxfId="2" priority="1"/>
  </conditionalFormatting>
  <dataValidations count="2">
    <dataValidation type="list" allowBlank="1" sqref="G14:G21" xr:uid="{00000000-0002-0000-0000-000000000000}">
      <formula1>"Done as expected,Issue observed,Pending,Other result observed"</formula1>
    </dataValidation>
    <dataValidation type="list" allowBlank="1" sqref="H14:H21" xr:uid="{00000000-0002-0000-0000-000001000000}">
      <formula1>"Passed,Failed,Blocked,Not Executed"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showGridLines="0" tabSelected="1" zoomScale="94" workbookViewId="0">
      <selection activeCell="D23" sqref="D23"/>
    </sheetView>
  </sheetViews>
  <sheetFormatPr defaultColWidth="12.6640625" defaultRowHeight="15.75" customHeight="1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31.5" customHeight="1">
      <c r="A1" s="86" t="s">
        <v>10</v>
      </c>
      <c r="B1" s="87"/>
      <c r="C1" s="87"/>
      <c r="D1" s="87"/>
      <c r="E1" s="87"/>
      <c r="F1" s="87"/>
      <c r="G1" s="87"/>
      <c r="H1" s="88"/>
    </row>
    <row r="2" spans="1:8" ht="21" customHeight="1">
      <c r="A2" s="1"/>
      <c r="B2" s="2"/>
      <c r="C2" s="1" t="s">
        <v>0</v>
      </c>
      <c r="D2" s="2" t="s">
        <v>1</v>
      </c>
      <c r="E2" s="93" t="s">
        <v>2</v>
      </c>
      <c r="F2" s="94"/>
      <c r="G2" s="94"/>
      <c r="H2" s="95"/>
    </row>
    <row r="3" spans="1:8" ht="18" customHeight="1">
      <c r="A3" s="3"/>
      <c r="B3" s="4"/>
      <c r="C3" s="3" t="s">
        <v>3</v>
      </c>
      <c r="D3" s="4" t="s">
        <v>78</v>
      </c>
      <c r="E3" s="16" t="s">
        <v>4</v>
      </c>
      <c r="F3" s="17" t="s">
        <v>5</v>
      </c>
      <c r="G3" s="17" t="s">
        <v>6</v>
      </c>
      <c r="H3" s="18" t="s">
        <v>7</v>
      </c>
    </row>
    <row r="4" spans="1:8" ht="24" customHeight="1">
      <c r="A4" s="3"/>
      <c r="B4" s="4"/>
      <c r="C4" s="3" t="s">
        <v>8</v>
      </c>
      <c r="D4" s="4" t="s">
        <v>9</v>
      </c>
      <c r="E4" s="27">
        <f>COUNTA(A14:A23)</f>
        <v>10</v>
      </c>
      <c r="F4" s="30">
        <f>COUNTIF(H14:H23, "Passed")</f>
        <v>9</v>
      </c>
      <c r="G4" s="32">
        <f>COUNTIF(H14:H23, "Failed")</f>
        <v>0</v>
      </c>
      <c r="H4" s="39">
        <f>IF(COUNTA(A14:A23)=0, 0, COUNTIF(H14:H23, "&lt;&gt;Not Executed")/COUNTA(A14:A23))</f>
        <v>0.9</v>
      </c>
    </row>
    <row r="5" spans="1:8" ht="18" customHeight="1">
      <c r="A5" s="3"/>
      <c r="B5" s="4"/>
      <c r="C5" s="3" t="s">
        <v>11</v>
      </c>
      <c r="D5" s="4" t="s">
        <v>79</v>
      </c>
      <c r="E5" s="16" t="s">
        <v>12</v>
      </c>
      <c r="F5" s="17" t="s">
        <v>13</v>
      </c>
      <c r="G5" s="17" t="s">
        <v>14</v>
      </c>
      <c r="H5" s="18" t="s">
        <v>15</v>
      </c>
    </row>
    <row r="6" spans="1:8" ht="24" customHeight="1">
      <c r="A6" s="3"/>
      <c r="B6" s="4"/>
      <c r="C6" s="3" t="s">
        <v>16</v>
      </c>
      <c r="D6" s="4" t="s">
        <v>80</v>
      </c>
      <c r="E6" s="46">
        <f>COUNTIF(H14:H23, "Blocked")</f>
        <v>0</v>
      </c>
      <c r="F6" s="49">
        <f>COUNTIF(H14:H23, "Not Executed")</f>
        <v>1</v>
      </c>
      <c r="G6" s="50">
        <f>IFERROR(COUNTIF(H14:H23, "Passed")/(COUNTIF(H14:H23, "Passed")+COUNTIF(H14:H23, "Failed")), 0)</f>
        <v>1</v>
      </c>
      <c r="H6" s="51" t="str">
        <f>IF(H4=1, "Completed", IF(H4&gt;0, "In Progress", "Not Started"))</f>
        <v>In Progress</v>
      </c>
    </row>
    <row r="7" spans="1:8" ht="21" customHeight="1">
      <c r="A7" s="3"/>
      <c r="B7" s="4"/>
      <c r="C7" s="3" t="s">
        <v>17</v>
      </c>
      <c r="D7" s="4" t="s">
        <v>18</v>
      </c>
      <c r="E7" s="52"/>
      <c r="F7" s="52"/>
      <c r="G7" s="52"/>
      <c r="H7" s="52"/>
    </row>
    <row r="8" spans="1:8" ht="21" customHeight="1">
      <c r="A8" s="3"/>
      <c r="B8" s="4"/>
      <c r="C8" s="3" t="s">
        <v>19</v>
      </c>
      <c r="D8" s="4" t="s">
        <v>20</v>
      </c>
      <c r="E8" s="93" t="s">
        <v>21</v>
      </c>
      <c r="F8" s="94"/>
      <c r="G8" s="94"/>
      <c r="H8" s="95"/>
    </row>
    <row r="9" spans="1:8" ht="19.5" customHeight="1">
      <c r="A9" s="3"/>
      <c r="B9" s="4"/>
      <c r="C9" s="3" t="s">
        <v>22</v>
      </c>
      <c r="D9" s="4" t="s">
        <v>23</v>
      </c>
      <c r="E9" s="90" t="s">
        <v>68</v>
      </c>
      <c r="F9" s="91"/>
      <c r="G9" s="91"/>
      <c r="H9" s="92"/>
    </row>
    <row r="10" spans="1:8" ht="19.5" customHeight="1">
      <c r="A10" s="3"/>
      <c r="B10" s="4"/>
      <c r="C10" s="3" t="s">
        <v>25</v>
      </c>
      <c r="D10" s="4" t="s">
        <v>26</v>
      </c>
      <c r="E10" s="53" t="s">
        <v>27</v>
      </c>
      <c r="F10" s="54" t="s">
        <v>28</v>
      </c>
      <c r="G10" s="55" t="s">
        <v>29</v>
      </c>
      <c r="H10" s="56" t="s">
        <v>30</v>
      </c>
    </row>
    <row r="11" spans="1:8" ht="19.5" customHeight="1" thickBot="1">
      <c r="A11" s="23"/>
      <c r="B11" s="24"/>
      <c r="C11" s="23" t="s">
        <v>31</v>
      </c>
      <c r="D11" s="24"/>
      <c r="E11" s="57" t="s">
        <v>32</v>
      </c>
      <c r="F11" s="54" t="s">
        <v>33</v>
      </c>
      <c r="G11" s="17" t="s">
        <v>34</v>
      </c>
      <c r="H11" s="56" t="s">
        <v>35</v>
      </c>
    </row>
    <row r="12" spans="1:8" ht="18" customHeight="1" thickBot="1">
      <c r="A12" s="58"/>
      <c r="B12" s="58"/>
      <c r="C12" s="58"/>
      <c r="D12" s="58"/>
      <c r="E12" s="96" t="s">
        <v>36</v>
      </c>
      <c r="F12" s="97"/>
      <c r="G12" s="97"/>
      <c r="H12" s="98"/>
    </row>
    <row r="13" spans="1:8" ht="24" customHeight="1">
      <c r="A13" s="59" t="s">
        <v>37</v>
      </c>
      <c r="B13" s="60" t="s">
        <v>38</v>
      </c>
      <c r="C13" s="60" t="s">
        <v>39</v>
      </c>
      <c r="D13" s="60" t="s">
        <v>40</v>
      </c>
      <c r="E13" s="60" t="s">
        <v>25</v>
      </c>
      <c r="F13" s="60" t="s">
        <v>41</v>
      </c>
      <c r="G13" s="61" t="s">
        <v>42</v>
      </c>
      <c r="H13" s="62" t="s">
        <v>43</v>
      </c>
    </row>
    <row r="14" spans="1:8" ht="27" customHeight="1">
      <c r="A14" s="34" t="s">
        <v>44</v>
      </c>
      <c r="B14" s="35" t="s">
        <v>45</v>
      </c>
      <c r="C14" s="36" t="s">
        <v>46</v>
      </c>
      <c r="D14" s="36" t="s">
        <v>81</v>
      </c>
      <c r="E14" s="36" t="s">
        <v>47</v>
      </c>
      <c r="F14" s="36" t="s">
        <v>48</v>
      </c>
      <c r="G14" s="37" t="s">
        <v>49</v>
      </c>
      <c r="H14" s="38" t="s">
        <v>27</v>
      </c>
    </row>
    <row r="15" spans="1:8" ht="27" customHeight="1">
      <c r="A15" s="34" t="s">
        <v>50</v>
      </c>
      <c r="B15" s="40" t="s">
        <v>45</v>
      </c>
      <c r="C15" s="41" t="s">
        <v>51</v>
      </c>
      <c r="D15" s="41" t="s">
        <v>52</v>
      </c>
      <c r="E15" s="41" t="s">
        <v>53</v>
      </c>
      <c r="F15" s="41" t="s">
        <v>54</v>
      </c>
      <c r="G15" s="42" t="s">
        <v>49</v>
      </c>
      <c r="H15" s="43" t="s">
        <v>27</v>
      </c>
    </row>
    <row r="16" spans="1:8" ht="27" customHeight="1">
      <c r="A16" s="34" t="s">
        <v>55</v>
      </c>
      <c r="B16" s="35" t="s">
        <v>56</v>
      </c>
      <c r="C16" s="36" t="s">
        <v>82</v>
      </c>
      <c r="D16" s="36" t="s">
        <v>83</v>
      </c>
      <c r="E16" s="36" t="s">
        <v>57</v>
      </c>
      <c r="F16" s="36" t="s">
        <v>84</v>
      </c>
      <c r="G16" s="37" t="s">
        <v>49</v>
      </c>
      <c r="H16" s="38" t="s">
        <v>27</v>
      </c>
    </row>
    <row r="17" spans="1:8" ht="27" customHeight="1">
      <c r="A17" s="34" t="s">
        <v>58</v>
      </c>
      <c r="B17" s="40" t="s">
        <v>56</v>
      </c>
      <c r="C17" s="41" t="s">
        <v>59</v>
      </c>
      <c r="D17" s="41" t="s">
        <v>60</v>
      </c>
      <c r="E17" s="41" t="s">
        <v>61</v>
      </c>
      <c r="F17" s="41" t="s">
        <v>62</v>
      </c>
      <c r="G17" s="42" t="s">
        <v>63</v>
      </c>
      <c r="H17" s="43" t="s">
        <v>27</v>
      </c>
    </row>
    <row r="18" spans="1:8" ht="27" customHeight="1">
      <c r="A18" s="34" t="s">
        <v>64</v>
      </c>
      <c r="B18" s="35" t="s">
        <v>85</v>
      </c>
      <c r="C18" s="36" t="s">
        <v>86</v>
      </c>
      <c r="D18" s="36" t="s">
        <v>87</v>
      </c>
      <c r="E18" s="36" t="s">
        <v>57</v>
      </c>
      <c r="F18" s="36" t="s">
        <v>88</v>
      </c>
      <c r="G18" s="37" t="s">
        <v>49</v>
      </c>
      <c r="H18" s="38" t="s">
        <v>27</v>
      </c>
    </row>
    <row r="19" spans="1:8" ht="27" customHeight="1">
      <c r="A19" s="34" t="s">
        <v>65</v>
      </c>
      <c r="B19" s="40" t="s">
        <v>89</v>
      </c>
      <c r="C19" s="41" t="s">
        <v>90</v>
      </c>
      <c r="D19" s="41" t="s">
        <v>91</v>
      </c>
      <c r="E19" s="41" t="s">
        <v>92</v>
      </c>
      <c r="F19" s="41" t="s">
        <v>93</v>
      </c>
      <c r="G19" s="42" t="s">
        <v>49</v>
      </c>
      <c r="H19" s="43" t="s">
        <v>27</v>
      </c>
    </row>
    <row r="20" spans="1:8" ht="27" customHeight="1">
      <c r="A20" s="34" t="s">
        <v>66</v>
      </c>
      <c r="B20" s="35" t="s">
        <v>94</v>
      </c>
      <c r="C20" s="36" t="s">
        <v>95</v>
      </c>
      <c r="D20" s="36" t="s">
        <v>96</v>
      </c>
      <c r="E20" s="36" t="s">
        <v>97</v>
      </c>
      <c r="F20" s="36" t="s">
        <v>98</v>
      </c>
      <c r="G20" s="37" t="s">
        <v>49</v>
      </c>
      <c r="H20" s="38" t="s">
        <v>27</v>
      </c>
    </row>
    <row r="21" spans="1:8" ht="27" customHeight="1" thickBot="1">
      <c r="A21" s="34" t="s">
        <v>67</v>
      </c>
      <c r="B21" s="44" t="s">
        <v>99</v>
      </c>
      <c r="C21" s="45" t="s">
        <v>100</v>
      </c>
      <c r="D21" s="45" t="s">
        <v>101</v>
      </c>
      <c r="E21" s="45" t="s">
        <v>102</v>
      </c>
      <c r="F21" s="45" t="s">
        <v>103</v>
      </c>
      <c r="G21" s="47" t="s">
        <v>49</v>
      </c>
      <c r="H21" s="48" t="s">
        <v>27</v>
      </c>
    </row>
    <row r="22" spans="1:8" ht="27" customHeight="1">
      <c r="A22" s="63" t="s">
        <v>70</v>
      </c>
      <c r="B22" s="64" t="s">
        <v>99</v>
      </c>
      <c r="C22" s="65" t="s">
        <v>100</v>
      </c>
      <c r="D22" s="99" t="s">
        <v>104</v>
      </c>
      <c r="E22" s="100" t="s">
        <v>105</v>
      </c>
      <c r="F22" s="99" t="s">
        <v>106</v>
      </c>
      <c r="G22" s="66" t="s">
        <v>49</v>
      </c>
      <c r="H22" s="67" t="s">
        <v>27</v>
      </c>
    </row>
    <row r="23" spans="1:8" ht="27" customHeight="1">
      <c r="A23" s="68" t="s">
        <v>71</v>
      </c>
      <c r="B23" s="69" t="s">
        <v>72</v>
      </c>
      <c r="C23" s="70" t="s">
        <v>73</v>
      </c>
      <c r="D23" s="101" t="s">
        <v>74</v>
      </c>
      <c r="E23" s="102" t="s">
        <v>75</v>
      </c>
      <c r="F23" s="101" t="s">
        <v>76</v>
      </c>
      <c r="G23" s="71" t="s">
        <v>69</v>
      </c>
      <c r="H23" s="72" t="s">
        <v>34</v>
      </c>
    </row>
  </sheetData>
  <mergeCells count="5">
    <mergeCell ref="E12:H12"/>
    <mergeCell ref="A1:H1"/>
    <mergeCell ref="E2:H2"/>
    <mergeCell ref="E8:H8"/>
    <mergeCell ref="E9:H9"/>
  </mergeCells>
  <conditionalFormatting sqref="B21:H21">
    <cfRule type="duplicateValues" dxfId="1" priority="1"/>
  </conditionalFormatting>
  <dataValidations count="3">
    <dataValidation type="list" allowBlank="1" sqref="H14:H23" xr:uid="{00000000-0002-0000-0100-000000000000}">
      <formula1>"Passed,Failed,Blocked,Not Executed"</formula1>
    </dataValidation>
    <dataValidation type="list" allowBlank="1" sqref="G22:G23" xr:uid="{00000000-0002-0000-0100-000001000000}">
      <formula1>"Done as expected,Issue observed,Pending"</formula1>
    </dataValidation>
    <dataValidation type="list" allowBlank="1" sqref="G14:G21" xr:uid="{26D164EA-F249-4F15-8606-4B918CB5B9DA}">
      <formula1>"Done as expected,Issue observed,Pending,Other result observed"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Suchitra</dc:creator>
  <cp:lastModifiedBy>Suchitra Nath</cp:lastModifiedBy>
  <dcterms:created xsi:type="dcterms:W3CDTF">2026-09-17T06:13:09Z</dcterms:created>
  <dcterms:modified xsi:type="dcterms:W3CDTF">2026-09-17T06:13:09Z</dcterms:modified>
</cp:coreProperties>
</file>